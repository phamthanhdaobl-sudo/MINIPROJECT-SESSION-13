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>
    <definedName name="_xlnm._FilterDatabase" localSheetId="0" hidden="1">'danh-muc-linh-kien'!$A$1:$D$11</definedName>
    <definedName name="_xlnm._FilterDatabase" localSheetId="1" hidden="1">'trang-thai-tram'!$A$1:$E$101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rtsCatalog" displayName="PartsCatalog" ref="A1:D11" headerRowCount="1">
  <autoFilter ref="A1:D11"/>
  <tableColumns count="4">
    <tableColumn id="1" name="ma_linh_kien"/>
    <tableColumn id="2" name="ten_thiet_bi"/>
    <tableColumn id="3" name="don_gia"/>
    <tableColumn id="4" name="loai_storage"/>
  </tableColumns>
  <tableStyleInfo name="TableStyleMedium4" showRowStripes="1"/>
</table>
</file>

<file path=xl/tables/table2.xml><?xml version="1.0" encoding="utf-8"?>
<table xmlns="http://schemas.openxmlformats.org/spreadsheetml/2006/main" id="2" name="StationStatus" displayName="StationStatus" ref="A1:E101" headerRowCount="1">
  <autoFilter ref="A1:E101"/>
  <tableColumns count="5">
    <tableColumn id="1" name="ma_tram"/>
    <tableColumn id="2" name="ma_linh_kien"/>
    <tableColumn id="3" name="dung_luong_ram"/>
    <tableColumn id="4" name="ngay_lap_dat"/>
    <tableColumn id="5" name="ten_thiet_b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</cols>
  <sheetData>
    <row r="1" ht="24" customHeight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t="inlineStr">
        <is>
          <t>CPU-001</t>
        </is>
      </c>
      <c r="B2" t="inlineStr">
        <is>
          <t>CPU ARM Cortex-A53</t>
        </is>
      </c>
      <c r="C2" s="2" t="n">
        <v>18.5</v>
      </c>
      <c r="D2" t="inlineStr">
        <is>
          <t>SSD</t>
        </is>
      </c>
    </row>
    <row r="3">
      <c r="A3" t="inlineStr">
        <is>
          <t>RAM-002</t>
        </is>
      </c>
      <c r="B3" t="inlineStr">
        <is>
          <t>RAM DDR4 8GB</t>
        </is>
      </c>
      <c r="C3" s="2" t="n">
        <v>12</v>
      </c>
      <c r="D3" t="inlineStr">
        <is>
          <t>HDD</t>
        </is>
      </c>
    </row>
    <row r="4">
      <c r="A4" t="inlineStr">
        <is>
          <t>SSD-003</t>
        </is>
      </c>
      <c r="B4" t="inlineStr">
        <is>
          <t>SSD SATA 256GB</t>
        </is>
      </c>
      <c r="C4" s="2" t="n">
        <v>24.9</v>
      </c>
      <c r="D4" t="inlineStr">
        <is>
          <t>SSD</t>
        </is>
      </c>
    </row>
    <row r="5">
      <c r="A5" t="inlineStr">
        <is>
          <t>SSD-004</t>
        </is>
      </c>
      <c r="B5" t="inlineStr">
        <is>
          <t>SSD NVMe 512GB</t>
        </is>
      </c>
      <c r="C5" s="2" t="n">
        <v>39.9</v>
      </c>
      <c r="D5" t="inlineStr">
        <is>
          <t>SSD</t>
        </is>
      </c>
    </row>
    <row r="6">
      <c r="A6" t="inlineStr">
        <is>
          <t>HDD-005</t>
        </is>
      </c>
      <c r="B6" t="inlineStr">
        <is>
          <t>HDD 1TB</t>
        </is>
      </c>
      <c r="C6" s="2" t="n">
        <v>31.5</v>
      </c>
      <c r="D6" t="inlineStr">
        <is>
          <t>HDD</t>
        </is>
      </c>
    </row>
    <row r="7">
      <c r="A7" t="inlineStr">
        <is>
          <t>CPU-006</t>
        </is>
      </c>
      <c r="B7" t="inlineStr">
        <is>
          <t>CPU ARM Cortex-A72</t>
        </is>
      </c>
      <c r="C7" s="2" t="n">
        <v>26</v>
      </c>
      <c r="D7" t="inlineStr">
        <is>
          <t>SSD</t>
        </is>
      </c>
    </row>
    <row r="8">
      <c r="A8" t="inlineStr">
        <is>
          <t>RAM-007</t>
        </is>
      </c>
      <c r="B8" t="inlineStr">
        <is>
          <t>RAM DDR4 16GB</t>
        </is>
      </c>
      <c r="C8" s="2" t="n">
        <v>21</v>
      </c>
      <c r="D8" t="inlineStr">
        <is>
          <t>HDD</t>
        </is>
      </c>
    </row>
    <row r="9">
      <c r="A9" t="inlineStr">
        <is>
          <t>SSD-008</t>
        </is>
      </c>
      <c r="B9" t="inlineStr">
        <is>
          <t>SSD SATA 128GB</t>
        </is>
      </c>
      <c r="C9" s="2" t="n">
        <v>17.5</v>
      </c>
      <c r="D9" t="inlineStr">
        <is>
          <t>SSD</t>
        </is>
      </c>
    </row>
    <row r="10">
      <c r="A10" t="inlineStr">
        <is>
          <t>NET-009</t>
        </is>
      </c>
      <c r="B10" t="inlineStr">
        <is>
          <t>Module gateway IoT</t>
        </is>
      </c>
      <c r="C10" s="2" t="n">
        <v>14.75</v>
      </c>
      <c r="D10" t="inlineStr">
        <is>
          <t>SSD</t>
        </is>
      </c>
    </row>
    <row r="11">
      <c r="A11" t="inlineStr">
        <is>
          <t>PWR-010</t>
        </is>
      </c>
      <c r="B11" t="inlineStr">
        <is>
          <t>Nguon DC 12V</t>
        </is>
      </c>
      <c r="C11" s="2" t="n">
        <v>8.9</v>
      </c>
      <c r="D11" t="inlineStr">
        <is>
          <t>HDD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42" customWidth="1" min="5" max="5"/>
  </cols>
  <sheetData>
    <row r="1" ht="24" customHeight="1">
      <c r="A1" s="1" t="inlineStr">
        <is>
          <t>ma_tram</t>
        </is>
      </c>
      <c r="B1" s="1" t="inlineStr">
        <is>
          <t>ma_linh_kien</t>
        </is>
      </c>
      <c r="C1" s="1" t="inlineStr">
        <is>
          <t>dung_luong_ram</t>
        </is>
      </c>
      <c r="D1" s="1" t="inlineStr">
        <is>
          <t>ngay_lap_dat</t>
        </is>
      </c>
      <c r="E1" s="1" t="inlineStr">
        <is>
          <t>ten_thiet_bi</t>
        </is>
      </c>
    </row>
    <row r="2">
      <c r="A2" t="inlineStr">
        <is>
          <t>ST-001</t>
        </is>
      </c>
      <c r="B2" t="inlineStr">
        <is>
          <t>CPU-001</t>
        </is>
      </c>
      <c r="C2" t="n">
        <v>8</v>
      </c>
      <c r="D2" s="3" t="n">
        <v>45665</v>
      </c>
      <c r="E2">
        <f>IFERROR(VLOOKUP(TRIM(B2),'danh-muc-linh-kien'!$A$2:$D$11,2,FALSE),"KHONG_TIM_THAY_MA")</f>
        <v/>
      </c>
    </row>
    <row r="3">
      <c r="A3" t="inlineStr">
        <is>
          <t>ST-002</t>
        </is>
      </c>
      <c r="B3" t="inlineStr">
        <is>
          <t>RAM-002</t>
        </is>
      </c>
      <c r="C3" t="n">
        <v>16</v>
      </c>
      <c r="D3" s="3" t="n">
        <v>45672</v>
      </c>
      <c r="E3">
        <f>IFERROR(VLOOKUP(TRIM(B3),'danh-muc-linh-kien'!$A$2:$D$11,2,FALSE),"KHONG_TIM_THAY_MA")</f>
        <v/>
      </c>
    </row>
    <row r="4">
      <c r="A4" t="inlineStr">
        <is>
          <t>ST-003</t>
        </is>
      </c>
      <c r="B4" t="inlineStr">
        <is>
          <t>SSD-003</t>
        </is>
      </c>
      <c r="C4" t="n">
        <v>4</v>
      </c>
      <c r="D4" s="3" t="n">
        <v>45679</v>
      </c>
      <c r="E4">
        <f>IFERROR(VLOOKUP(TRIM(B4),'danh-muc-linh-kien'!$A$2:$D$11,2,FALSE),"KHONG_TIM_THAY_MA")</f>
        <v/>
      </c>
    </row>
    <row r="5">
      <c r="A5" t="inlineStr">
        <is>
          <t>ST-004</t>
        </is>
      </c>
      <c r="B5" t="inlineStr">
        <is>
          <t>SSD-004</t>
        </is>
      </c>
      <c r="C5" t="n">
        <v>8</v>
      </c>
      <c r="D5" s="3" t="n">
        <v>45686</v>
      </c>
      <c r="E5">
        <f>IFERROR(VLOOKUP(TRIM(B5),'danh-muc-linh-kien'!$A$2:$D$11,2,FALSE),"KHONG_TIM_THAY_MA")</f>
        <v/>
      </c>
    </row>
    <row r="6">
      <c r="A6" t="inlineStr">
        <is>
          <t>ST-005</t>
        </is>
      </c>
      <c r="B6" t="inlineStr">
        <is>
          <t>HDD-005</t>
        </is>
      </c>
      <c r="C6" t="n">
        <v>16</v>
      </c>
      <c r="D6" s="3" t="n">
        <v>45693</v>
      </c>
      <c r="E6">
        <f>IFERROR(VLOOKUP(TRIM(B6),'danh-muc-linh-kien'!$A$2:$D$11,2,FALSE),"KHONG_TIM_THAY_MA")</f>
        <v/>
      </c>
    </row>
    <row r="7">
      <c r="A7" t="inlineStr">
        <is>
          <t>ST-006</t>
        </is>
      </c>
      <c r="B7" t="inlineStr">
        <is>
          <t>CPU-006</t>
        </is>
      </c>
      <c r="C7" t="n">
        <v>4</v>
      </c>
      <c r="D7" s="3" t="n">
        <v>45700</v>
      </c>
      <c r="E7">
        <f>IFERROR(VLOOKUP(TRIM(B7),'danh-muc-linh-kien'!$A$2:$D$11,2,FALSE),"KHONG_TIM_THAY_MA")</f>
        <v/>
      </c>
    </row>
    <row r="8">
      <c r="A8" t="inlineStr">
        <is>
          <t>ST-007</t>
        </is>
      </c>
      <c r="B8" t="inlineStr">
        <is>
          <t xml:space="preserve"> RAM-007 </t>
        </is>
      </c>
      <c r="C8" t="n">
        <v>8</v>
      </c>
      <c r="D8" s="3" t="n">
        <v>45707</v>
      </c>
      <c r="E8">
        <f>IFERROR(VLOOKUP(TRIM(B8),'danh-muc-linh-kien'!$A$2:$D$11,2,FALSE),"KHONG_TIM_THAY_MA")</f>
        <v/>
      </c>
    </row>
    <row r="9">
      <c r="A9" t="inlineStr">
        <is>
          <t>ST-008</t>
        </is>
      </c>
      <c r="B9" t="inlineStr">
        <is>
          <t>SSD-008</t>
        </is>
      </c>
      <c r="C9" t="n">
        <v>16</v>
      </c>
      <c r="D9" s="3" t="n">
        <v>45714</v>
      </c>
      <c r="E9">
        <f>IFERROR(VLOOKUP(TRIM(B9),'danh-muc-linh-kien'!$A$2:$D$11,2,FALSE),"KHONG_TIM_THAY_MA")</f>
        <v/>
      </c>
    </row>
    <row r="10">
      <c r="A10" t="inlineStr">
        <is>
          <t>ST-009</t>
        </is>
      </c>
      <c r="B10" t="inlineStr">
        <is>
          <t>NET-009</t>
        </is>
      </c>
      <c r="C10" t="n">
        <v>4</v>
      </c>
      <c r="D10" s="3" t="n">
        <v>45721</v>
      </c>
      <c r="E10">
        <f>IFERROR(VLOOKUP(TRIM(B10),'danh-muc-linh-kien'!$A$2:$D$11,2,FALSE),"KHONG_TIM_THAY_MA")</f>
        <v/>
      </c>
    </row>
    <row r="11">
      <c r="A11" t="inlineStr">
        <is>
          <t>ST-010</t>
        </is>
      </c>
      <c r="B11" t="inlineStr">
        <is>
          <t>PWR-010</t>
        </is>
      </c>
      <c r="C11" t="n">
        <v>8</v>
      </c>
      <c r="D11" s="3" t="n">
        <v>45728</v>
      </c>
      <c r="E11">
        <f>IFERROR(VLOOKUP(TRIM(B11),'danh-muc-linh-kien'!$A$2:$D$11,2,FALSE),"KHONG_TIM_THAY_MA")</f>
        <v/>
      </c>
    </row>
    <row r="12">
      <c r="A12" t="inlineStr">
        <is>
          <t>ST-011</t>
        </is>
      </c>
      <c r="B12" t="inlineStr">
        <is>
          <t>CPU-001</t>
        </is>
      </c>
      <c r="C12" t="n">
        <v>16</v>
      </c>
      <c r="D12" s="3" t="n">
        <v>45735</v>
      </c>
      <c r="E12">
        <f>IFERROR(VLOOKUP(TRIM(B12),'danh-muc-linh-kien'!$A$2:$D$11,2,FALSE),"KHONG_TIM_THAY_MA")</f>
        <v/>
      </c>
    </row>
    <row r="13">
      <c r="A13" t="inlineStr">
        <is>
          <t>ST-012</t>
        </is>
      </c>
      <c r="B13" t="inlineStr">
        <is>
          <t>RAM-002</t>
        </is>
      </c>
      <c r="C13" t="n">
        <v>4</v>
      </c>
      <c r="D13" s="3" t="n">
        <v>45742</v>
      </c>
      <c r="E13">
        <f>IFERROR(VLOOKUP(TRIM(B13),'danh-muc-linh-kien'!$A$2:$D$11,2,FALSE),"KHONG_TIM_THAY_MA")</f>
        <v/>
      </c>
    </row>
    <row r="14">
      <c r="A14" t="inlineStr">
        <is>
          <t>ST-013</t>
        </is>
      </c>
      <c r="B14" t="inlineStr">
        <is>
          <t>SSD-003</t>
        </is>
      </c>
      <c r="C14" t="n">
        <v>8</v>
      </c>
      <c r="D14" s="3" t="n">
        <v>45749</v>
      </c>
      <c r="E14">
        <f>IFERROR(VLOOKUP(TRIM(B14),'danh-muc-linh-kien'!$A$2:$D$11,2,FALSE),"KHONG_TIM_THAY_MA")</f>
        <v/>
      </c>
    </row>
    <row r="15">
      <c r="A15" t="inlineStr">
        <is>
          <t>ST-014</t>
        </is>
      </c>
      <c r="B15" t="inlineStr">
        <is>
          <t>SSD-004</t>
        </is>
      </c>
      <c r="C15" t="n">
        <v>16</v>
      </c>
      <c r="D15" s="3" t="n">
        <v>45756</v>
      </c>
      <c r="E15">
        <f>IFERROR(VLOOKUP(TRIM(B15),'danh-muc-linh-kien'!$A$2:$D$11,2,FALSE),"KHONG_TIM_THAY_MA")</f>
        <v/>
      </c>
    </row>
    <row r="16">
      <c r="A16" t="inlineStr">
        <is>
          <t>ST-015</t>
        </is>
      </c>
      <c r="B16" t="inlineStr">
        <is>
          <t>HDD-005</t>
        </is>
      </c>
      <c r="C16" t="n">
        <v>4</v>
      </c>
      <c r="D16" s="3" t="n">
        <v>45763</v>
      </c>
      <c r="E16">
        <f>IFERROR(VLOOKUP(TRIM(B16),'danh-muc-linh-kien'!$A$2:$D$11,2,FALSE),"KHONG_TIM_THAY_MA")</f>
        <v/>
      </c>
    </row>
    <row r="17">
      <c r="A17" t="inlineStr">
        <is>
          <t>ST-016</t>
        </is>
      </c>
      <c r="B17" t="inlineStr">
        <is>
          <t>CPU-006</t>
        </is>
      </c>
      <c r="C17" t="n">
        <v>8</v>
      </c>
      <c r="D17" s="3" t="n">
        <v>45770</v>
      </c>
      <c r="E17">
        <f>IFERROR(VLOOKUP(TRIM(B17),'danh-muc-linh-kien'!$A$2:$D$11,2,FALSE),"KHONG_TIM_THAY_MA")</f>
        <v/>
      </c>
    </row>
    <row r="18">
      <c r="A18" t="inlineStr">
        <is>
          <t>ST-017</t>
        </is>
      </c>
      <c r="B18" t="inlineStr">
        <is>
          <t>RAM-007</t>
        </is>
      </c>
      <c r="C18" t="n">
        <v>16</v>
      </c>
      <c r="D18" s="3" t="n">
        <v>45777</v>
      </c>
      <c r="E18">
        <f>IFERROR(VLOOKUP(TRIM(B18),'danh-muc-linh-kien'!$A$2:$D$11,2,FALSE),"KHONG_TIM_THAY_MA")</f>
        <v/>
      </c>
    </row>
    <row r="19">
      <c r="A19" t="inlineStr">
        <is>
          <t>ST-018</t>
        </is>
      </c>
      <c r="B19" t="inlineStr">
        <is>
          <t>SSD-008</t>
        </is>
      </c>
      <c r="C19" t="n">
        <v>4</v>
      </c>
      <c r="D19" s="3" t="n">
        <v>45784</v>
      </c>
      <c r="E19">
        <f>IFERROR(VLOOKUP(TRIM(B19),'danh-muc-linh-kien'!$A$2:$D$11,2,FALSE),"KHONG_TIM_THAY_MA")</f>
        <v/>
      </c>
    </row>
    <row r="20">
      <c r="A20" t="inlineStr">
        <is>
          <t>ST-019</t>
        </is>
      </c>
      <c r="B20" t="inlineStr">
        <is>
          <t>NET-009</t>
        </is>
      </c>
      <c r="C20" t="n">
        <v>8</v>
      </c>
      <c r="D20" s="3" t="n">
        <v>45791</v>
      </c>
      <c r="E20">
        <f>IFERROR(VLOOKUP(TRIM(B20),'danh-muc-linh-kien'!$A$2:$D$11,2,FALSE),"KHONG_TIM_THAY_MA")</f>
        <v/>
      </c>
    </row>
    <row r="21">
      <c r="A21" t="inlineStr">
        <is>
          <t>ST-020</t>
        </is>
      </c>
      <c r="B21" t="inlineStr">
        <is>
          <t>PWR-010</t>
        </is>
      </c>
      <c r="C21" t="n">
        <v>16</v>
      </c>
      <c r="D21" s="3" t="n">
        <v>45798</v>
      </c>
      <c r="E21">
        <f>IFERROR(VLOOKUP(TRIM(B21),'danh-muc-linh-kien'!$A$2:$D$11,2,FALSE),"KHONG_TIM_THAY_MA")</f>
        <v/>
      </c>
    </row>
    <row r="22">
      <c r="A22" t="inlineStr">
        <is>
          <t>ST-021</t>
        </is>
      </c>
      <c r="B22" t="inlineStr">
        <is>
          <t>CPU-001</t>
        </is>
      </c>
      <c r="C22" t="n">
        <v>4</v>
      </c>
      <c r="D22" s="3" t="n">
        <v>45805</v>
      </c>
      <c r="E22">
        <f>IFERROR(VLOOKUP(TRIM(B22),'danh-muc-linh-kien'!$A$2:$D$11,2,FALSE),"KHONG_TIM_THAY_MA")</f>
        <v/>
      </c>
    </row>
    <row r="23">
      <c r="A23" t="inlineStr">
        <is>
          <t>ST-022</t>
        </is>
      </c>
      <c r="B23" t="inlineStr">
        <is>
          <t xml:space="preserve"> RAM-002 </t>
        </is>
      </c>
      <c r="C23" t="n">
        <v>8</v>
      </c>
      <c r="D23" s="3" t="n">
        <v>45812</v>
      </c>
      <c r="E23">
        <f>IFERROR(VLOOKUP(TRIM(B23),'danh-muc-linh-kien'!$A$2:$D$11,2,FALSE),"KHONG_TIM_THAY_MA")</f>
        <v/>
      </c>
    </row>
    <row r="24">
      <c r="A24" t="inlineStr">
        <is>
          <t>ST-023</t>
        </is>
      </c>
      <c r="B24" t="inlineStr">
        <is>
          <t>SSD-003</t>
        </is>
      </c>
      <c r="C24" t="n">
        <v>16</v>
      </c>
      <c r="D24" s="3" t="n">
        <v>45819</v>
      </c>
      <c r="E24">
        <f>IFERROR(VLOOKUP(TRIM(B24),'danh-muc-linh-kien'!$A$2:$D$11,2,FALSE),"KHONG_TIM_THAY_MA")</f>
        <v/>
      </c>
    </row>
    <row r="25">
      <c r="A25" t="inlineStr">
        <is>
          <t>ST-024</t>
        </is>
      </c>
      <c r="B25" t="inlineStr">
        <is>
          <t>SSD-004</t>
        </is>
      </c>
      <c r="C25" t="n">
        <v>4</v>
      </c>
      <c r="D25" s="3" t="n">
        <v>45826</v>
      </c>
      <c r="E25">
        <f>IFERROR(VLOOKUP(TRIM(B25),'danh-muc-linh-kien'!$A$2:$D$11,2,FALSE),"KHONG_TIM_THAY_MA")</f>
        <v/>
      </c>
    </row>
    <row r="26">
      <c r="A26" t="inlineStr">
        <is>
          <t>ST-025</t>
        </is>
      </c>
      <c r="B26" t="inlineStr">
        <is>
          <t>HDD-005</t>
        </is>
      </c>
      <c r="C26" t="n">
        <v>8</v>
      </c>
      <c r="D26" s="3" t="n">
        <v>45833</v>
      </c>
      <c r="E26">
        <f>IFERROR(VLOOKUP(TRIM(B26),'danh-muc-linh-kien'!$A$2:$D$11,2,FALSE),"KHONG_TIM_THAY_MA")</f>
        <v/>
      </c>
    </row>
    <row r="27">
      <c r="A27" t="inlineStr">
        <is>
          <t>ST-026</t>
        </is>
      </c>
      <c r="B27" t="inlineStr">
        <is>
          <t>CPU-006</t>
        </is>
      </c>
      <c r="C27" t="n">
        <v>16</v>
      </c>
      <c r="D27" s="3" t="n">
        <v>45840</v>
      </c>
      <c r="E27">
        <f>IFERROR(VLOOKUP(TRIM(B27),'danh-muc-linh-kien'!$A$2:$D$11,2,FALSE),"KHONG_TIM_THAY_MA")</f>
        <v/>
      </c>
    </row>
    <row r="28">
      <c r="A28" t="inlineStr">
        <is>
          <t>ST-027</t>
        </is>
      </c>
      <c r="B28" t="inlineStr">
        <is>
          <t>RAM-007</t>
        </is>
      </c>
      <c r="C28" t="n">
        <v>4</v>
      </c>
      <c r="D28" s="3" t="n">
        <v>45847</v>
      </c>
      <c r="E28">
        <f>IFERROR(VLOOKUP(TRIM(B28),'danh-muc-linh-kien'!$A$2:$D$11,2,FALSE),"KHONG_TIM_THAY_MA")</f>
        <v/>
      </c>
    </row>
    <row r="29">
      <c r="A29" t="inlineStr">
        <is>
          <t>ST-028</t>
        </is>
      </c>
      <c r="B29" t="inlineStr">
        <is>
          <t>SSD-008</t>
        </is>
      </c>
      <c r="C29" t="n">
        <v>8</v>
      </c>
      <c r="D29" s="3" t="n">
        <v>45854</v>
      </c>
      <c r="E29">
        <f>IFERROR(VLOOKUP(TRIM(B29),'danh-muc-linh-kien'!$A$2:$D$11,2,FALSE),"KHONG_TIM_THAY_MA")</f>
        <v/>
      </c>
    </row>
    <row r="30">
      <c r="A30" t="inlineStr">
        <is>
          <t>ST-029</t>
        </is>
      </c>
      <c r="B30" t="inlineStr">
        <is>
          <t>NET-009</t>
        </is>
      </c>
      <c r="C30" t="n">
        <v>16</v>
      </c>
      <c r="D30" s="3" t="n">
        <v>45861</v>
      </c>
      <c r="E30">
        <f>IFERROR(VLOOKUP(TRIM(B30),'danh-muc-linh-kien'!$A$2:$D$11,2,FALSE),"KHONG_TIM_THAY_MA")</f>
        <v/>
      </c>
    </row>
    <row r="31">
      <c r="A31" t="inlineStr">
        <is>
          <t>ST-030</t>
        </is>
      </c>
      <c r="B31" t="inlineStr">
        <is>
          <t>PWR-010</t>
        </is>
      </c>
      <c r="C31" t="n">
        <v>4</v>
      </c>
      <c r="D31" s="3" t="n">
        <v>45868</v>
      </c>
      <c r="E31">
        <f>IFERROR(VLOOKUP(TRIM(B31),'danh-muc-linh-kien'!$A$2:$D$11,2,FALSE),"KHONG_TIM_THAY_MA")</f>
        <v/>
      </c>
    </row>
    <row r="32">
      <c r="A32" t="inlineStr">
        <is>
          <t>ST-031</t>
        </is>
      </c>
      <c r="B32" t="inlineStr">
        <is>
          <t>CPU-001</t>
        </is>
      </c>
      <c r="C32" t="n">
        <v>8</v>
      </c>
      <c r="D32" s="3" t="n">
        <v>45875</v>
      </c>
      <c r="E32">
        <f>IFERROR(VLOOKUP(TRIM(B32),'danh-muc-linh-kien'!$A$2:$D$11,2,FALSE),"KHONG_TIM_THAY_MA")</f>
        <v/>
      </c>
    </row>
    <row r="33">
      <c r="A33" t="inlineStr">
        <is>
          <t>ST-032</t>
        </is>
      </c>
      <c r="B33" t="inlineStr">
        <is>
          <t>RAM-002</t>
        </is>
      </c>
      <c r="C33" t="n">
        <v>16</v>
      </c>
      <c r="D33" s="3" t="n">
        <v>45882</v>
      </c>
      <c r="E33">
        <f>IFERROR(VLOOKUP(TRIM(B33),'danh-muc-linh-kien'!$A$2:$D$11,2,FALSE),"KHONG_TIM_THAY_MA")</f>
        <v/>
      </c>
    </row>
    <row r="34">
      <c r="A34" t="inlineStr">
        <is>
          <t>ST-033</t>
        </is>
      </c>
      <c r="B34" t="inlineStr">
        <is>
          <t>SSD-003</t>
        </is>
      </c>
      <c r="C34" t="n">
        <v>4</v>
      </c>
      <c r="D34" s="3" t="n">
        <v>45889</v>
      </c>
      <c r="E34">
        <f>IFERROR(VLOOKUP(TRIM(B34),'danh-muc-linh-kien'!$A$2:$D$11,2,FALSE),"KHONG_TIM_THAY_MA")</f>
        <v/>
      </c>
    </row>
    <row r="35">
      <c r="A35" t="inlineStr">
        <is>
          <t>ST-034</t>
        </is>
      </c>
      <c r="B35" t="inlineStr">
        <is>
          <t>SSD-004</t>
        </is>
      </c>
      <c r="C35" t="n">
        <v>8</v>
      </c>
      <c r="D35" s="3" t="n">
        <v>45896</v>
      </c>
      <c r="E35">
        <f>IFERROR(VLOOKUP(TRIM(B35),'danh-muc-linh-kien'!$A$2:$D$11,2,FALSE),"KHONG_TIM_THAY_MA")</f>
        <v/>
      </c>
    </row>
    <row r="36">
      <c r="A36" t="inlineStr">
        <is>
          <t>ST-035</t>
        </is>
      </c>
      <c r="B36" t="inlineStr">
        <is>
          <t>HDD-005</t>
        </is>
      </c>
      <c r="C36" t="n">
        <v>16</v>
      </c>
      <c r="D36" s="3" t="n">
        <v>45903</v>
      </c>
      <c r="E36">
        <f>IFERROR(VLOOKUP(TRIM(B36),'danh-muc-linh-kien'!$A$2:$D$11,2,FALSE),"KHONG_TIM_THAY_MA")</f>
        <v/>
      </c>
    </row>
    <row r="37">
      <c r="A37" t="inlineStr">
        <is>
          <t>ST-036</t>
        </is>
      </c>
      <c r="B37" t="inlineStr">
        <is>
          <t>CPU-006</t>
        </is>
      </c>
      <c r="C37" t="n">
        <v>4</v>
      </c>
      <c r="D37" s="3" t="n">
        <v>45910</v>
      </c>
      <c r="E37">
        <f>IFERROR(VLOOKUP(TRIM(B37),'danh-muc-linh-kien'!$A$2:$D$11,2,FALSE),"KHONG_TIM_THAY_MA")</f>
        <v/>
      </c>
    </row>
    <row r="38">
      <c r="A38" t="inlineStr">
        <is>
          <t>ST-037</t>
        </is>
      </c>
      <c r="B38" t="inlineStr">
        <is>
          <t>RAM-007</t>
        </is>
      </c>
      <c r="C38" t="n">
        <v>8</v>
      </c>
      <c r="D38" s="3" t="n">
        <v>45917</v>
      </c>
      <c r="E38">
        <f>IFERROR(VLOOKUP(TRIM(B38),'danh-muc-linh-kien'!$A$2:$D$11,2,FALSE),"KHONG_TIM_THAY_MA")</f>
        <v/>
      </c>
    </row>
    <row r="39">
      <c r="A39" t="inlineStr">
        <is>
          <t>ST-038</t>
        </is>
      </c>
      <c r="B39" t="inlineStr">
        <is>
          <t>SSD-008</t>
        </is>
      </c>
      <c r="C39" t="n">
        <v>16</v>
      </c>
      <c r="D39" s="3" t="n">
        <v>45924</v>
      </c>
      <c r="E39">
        <f>IFERROR(VLOOKUP(TRIM(B39),'danh-muc-linh-kien'!$A$2:$D$11,2,FALSE),"KHONG_TIM_THAY_MA")</f>
        <v/>
      </c>
    </row>
    <row r="40">
      <c r="A40" t="inlineStr">
        <is>
          <t>ST-039</t>
        </is>
      </c>
      <c r="B40" t="inlineStr">
        <is>
          <t>NET-009</t>
        </is>
      </c>
      <c r="C40" t="n">
        <v>4</v>
      </c>
      <c r="D40" s="3" t="n">
        <v>45931</v>
      </c>
      <c r="E40">
        <f>IFERROR(VLOOKUP(TRIM(B40),'danh-muc-linh-kien'!$A$2:$D$11,2,FALSE),"KHONG_TIM_THAY_MA")</f>
        <v/>
      </c>
    </row>
    <row r="41">
      <c r="A41" t="inlineStr">
        <is>
          <t>ST-040</t>
        </is>
      </c>
      <c r="B41" t="inlineStr">
        <is>
          <t>PWR-010</t>
        </is>
      </c>
      <c r="C41" t="n">
        <v>8</v>
      </c>
      <c r="D41" s="3" t="n">
        <v>45938</v>
      </c>
      <c r="E41">
        <f>IFERROR(VLOOKUP(TRIM(B41),'danh-muc-linh-kien'!$A$2:$D$11,2,FALSE),"KHONG_TIM_THAY_MA")</f>
        <v/>
      </c>
    </row>
    <row r="42">
      <c r="A42" t="inlineStr">
        <is>
          <t>ST-041</t>
        </is>
      </c>
      <c r="B42" t="inlineStr">
        <is>
          <t>CPU-001</t>
        </is>
      </c>
      <c r="C42" t="n">
        <v>16</v>
      </c>
      <c r="D42" s="3" t="n">
        <v>45945</v>
      </c>
      <c r="E42">
        <f>IFERROR(VLOOKUP(TRIM(B42),'danh-muc-linh-kien'!$A$2:$D$11,2,FALSE),"KHONG_TIM_THAY_MA")</f>
        <v/>
      </c>
    </row>
    <row r="43">
      <c r="A43" t="inlineStr">
        <is>
          <t>ST-042</t>
        </is>
      </c>
      <c r="B43" t="inlineStr">
        <is>
          <t>RAM-002</t>
        </is>
      </c>
      <c r="C43" t="n">
        <v>4</v>
      </c>
      <c r="D43" s="3" t="n">
        <v>45952</v>
      </c>
      <c r="E43">
        <f>IFERROR(VLOOKUP(TRIM(B43),'danh-muc-linh-kien'!$A$2:$D$11,2,FALSE),"KHONG_TIM_THAY_MA")</f>
        <v/>
      </c>
    </row>
    <row r="44">
      <c r="A44" t="inlineStr">
        <is>
          <t>ST-043</t>
        </is>
      </c>
      <c r="B44" t="inlineStr">
        <is>
          <t>SSD-003</t>
        </is>
      </c>
      <c r="C44" t="n">
        <v>8</v>
      </c>
      <c r="D44" s="3" t="n">
        <v>45959</v>
      </c>
      <c r="E44">
        <f>IFERROR(VLOOKUP(TRIM(B44),'danh-muc-linh-kien'!$A$2:$D$11,2,FALSE),"KHONG_TIM_THAY_MA")</f>
        <v/>
      </c>
    </row>
    <row r="45">
      <c r="A45" t="inlineStr">
        <is>
          <t>ST-044</t>
        </is>
      </c>
      <c r="B45" t="inlineStr">
        <is>
          <t>SSD-004</t>
        </is>
      </c>
      <c r="C45" t="n">
        <v>16</v>
      </c>
      <c r="D45" s="3" t="n">
        <v>45966</v>
      </c>
      <c r="E45">
        <f>IFERROR(VLOOKUP(TRIM(B45),'danh-muc-linh-kien'!$A$2:$D$11,2,FALSE),"KHONG_TIM_THAY_MA")</f>
        <v/>
      </c>
    </row>
    <row r="46">
      <c r="A46" t="inlineStr">
        <is>
          <t>ST-045</t>
        </is>
      </c>
      <c r="B46" t="inlineStr">
        <is>
          <t>HDD-005</t>
        </is>
      </c>
      <c r="C46" t="n">
        <v>4</v>
      </c>
      <c r="D46" s="3" t="n">
        <v>45973</v>
      </c>
      <c r="E46">
        <f>IFERROR(VLOOKUP(TRIM(B46),'danh-muc-linh-kien'!$A$2:$D$11,2,FALSE),"KHONG_TIM_THAY_MA")</f>
        <v/>
      </c>
    </row>
    <row r="47">
      <c r="A47" t="inlineStr">
        <is>
          <t>ST-046</t>
        </is>
      </c>
      <c r="B47" t="inlineStr">
        <is>
          <t>CPU-006</t>
        </is>
      </c>
      <c r="C47" t="n">
        <v>8</v>
      </c>
      <c r="D47" s="3" t="n">
        <v>45980</v>
      </c>
      <c r="E47">
        <f>IFERROR(VLOOKUP(TRIM(B47),'danh-muc-linh-kien'!$A$2:$D$11,2,FALSE),"KHONG_TIM_THAY_MA")</f>
        <v/>
      </c>
    </row>
    <row r="48">
      <c r="A48" t="inlineStr">
        <is>
          <t>ST-047</t>
        </is>
      </c>
      <c r="B48" t="inlineStr">
        <is>
          <t>RAM-007</t>
        </is>
      </c>
      <c r="C48" t="n">
        <v>16</v>
      </c>
      <c r="D48" s="3" t="n">
        <v>45987</v>
      </c>
      <c r="E48">
        <f>IFERROR(VLOOKUP(TRIM(B48),'danh-muc-linh-kien'!$A$2:$D$11,2,FALSE),"KHONG_TIM_THAY_MA")</f>
        <v/>
      </c>
    </row>
    <row r="49">
      <c r="A49" t="inlineStr">
        <is>
          <t>ST-048</t>
        </is>
      </c>
      <c r="B49" t="inlineStr">
        <is>
          <t>SSD-008</t>
        </is>
      </c>
      <c r="C49" t="n">
        <v>4</v>
      </c>
      <c r="D49" s="3" t="n">
        <v>45994</v>
      </c>
      <c r="E49">
        <f>IFERROR(VLOOKUP(TRIM(B49),'danh-muc-linh-kien'!$A$2:$D$11,2,FALSE),"KHONG_TIM_THAY_MA")</f>
        <v/>
      </c>
    </row>
    <row r="50">
      <c r="A50" t="inlineStr">
        <is>
          <t>ST-049</t>
        </is>
      </c>
      <c r="B50" t="inlineStr">
        <is>
          <t>NET-009</t>
        </is>
      </c>
      <c r="C50" t="n">
        <v>8</v>
      </c>
      <c r="D50" s="3" t="n">
        <v>46001</v>
      </c>
      <c r="E50">
        <f>IFERROR(VLOOKUP(TRIM(B50),'danh-muc-linh-kien'!$A$2:$D$11,2,FALSE),"KHONG_TIM_THAY_MA")</f>
        <v/>
      </c>
    </row>
    <row r="51">
      <c r="A51" t="inlineStr">
        <is>
          <t>ST-050</t>
        </is>
      </c>
      <c r="B51" t="inlineStr">
        <is>
          <t>PWR-010</t>
        </is>
      </c>
      <c r="C51" t="n">
        <v>16</v>
      </c>
      <c r="D51" s="3" t="n">
        <v>46008</v>
      </c>
      <c r="E51">
        <f>IFERROR(VLOOKUP(TRIM(B51),'danh-muc-linh-kien'!$A$2:$D$11,2,FALSE),"KHONG_TIM_THAY_MA")</f>
        <v/>
      </c>
    </row>
    <row r="52">
      <c r="A52" t="inlineStr">
        <is>
          <t>ST-051</t>
        </is>
      </c>
      <c r="B52" t="inlineStr">
        <is>
          <t>CPU-001</t>
        </is>
      </c>
      <c r="C52" t="n">
        <v>4</v>
      </c>
      <c r="D52" s="3" t="n">
        <v>46015</v>
      </c>
      <c r="E52">
        <f>IFERROR(VLOOKUP(TRIM(B52),'danh-muc-linh-kien'!$A$2:$D$11,2,FALSE),"KHONG_TIM_THAY_MA")</f>
        <v/>
      </c>
    </row>
    <row r="53">
      <c r="A53" t="inlineStr">
        <is>
          <t>ST-052</t>
        </is>
      </c>
      <c r="B53" t="inlineStr">
        <is>
          <t>RAM-002</t>
        </is>
      </c>
      <c r="C53" t="n">
        <v>8</v>
      </c>
      <c r="D53" s="3" t="n">
        <v>46022</v>
      </c>
      <c r="E53">
        <f>IFERROR(VLOOKUP(TRIM(B53),'danh-muc-linh-kien'!$A$2:$D$11,2,FALSE),"KHONG_TIM_THAY_MA")</f>
        <v/>
      </c>
    </row>
    <row r="54">
      <c r="A54" t="inlineStr">
        <is>
          <t>ST-053</t>
        </is>
      </c>
      <c r="B54" t="inlineStr">
        <is>
          <t>SSD-003</t>
        </is>
      </c>
      <c r="C54" t="n">
        <v>16</v>
      </c>
      <c r="D54" s="3" t="n">
        <v>46029</v>
      </c>
      <c r="E54">
        <f>IFERROR(VLOOKUP(TRIM(B54),'danh-muc-linh-kien'!$A$2:$D$11,2,FALSE),"KHONG_TIM_THAY_MA")</f>
        <v/>
      </c>
    </row>
    <row r="55">
      <c r="A55" t="inlineStr">
        <is>
          <t>ST-054</t>
        </is>
      </c>
      <c r="B55" t="inlineStr">
        <is>
          <t>SSD-004</t>
        </is>
      </c>
      <c r="C55" t="n">
        <v>4</v>
      </c>
      <c r="D55" s="3" t="n">
        <v>46036</v>
      </c>
      <c r="E55">
        <f>IFERROR(VLOOKUP(TRIM(B55),'danh-muc-linh-kien'!$A$2:$D$11,2,FALSE),"KHONG_TIM_THAY_MA")</f>
        <v/>
      </c>
    </row>
    <row r="56">
      <c r="A56" t="inlineStr">
        <is>
          <t>ST-055</t>
        </is>
      </c>
      <c r="B56" t="inlineStr">
        <is>
          <t>HDD-005</t>
        </is>
      </c>
      <c r="C56" t="n">
        <v>8</v>
      </c>
      <c r="D56" s="3" t="n">
        <v>46043</v>
      </c>
      <c r="E56">
        <f>IFERROR(VLOOKUP(TRIM(B56),'danh-muc-linh-kien'!$A$2:$D$11,2,FALSE),"KHONG_TIM_THAY_MA")</f>
        <v/>
      </c>
    </row>
    <row r="57">
      <c r="A57" t="inlineStr">
        <is>
          <t>ST-056</t>
        </is>
      </c>
      <c r="B57" t="inlineStr">
        <is>
          <t>CPU-006</t>
        </is>
      </c>
      <c r="C57" t="n">
        <v>16</v>
      </c>
      <c r="D57" s="3" t="n">
        <v>46050</v>
      </c>
      <c r="E57">
        <f>IFERROR(VLOOKUP(TRIM(B57),'danh-muc-linh-kien'!$A$2:$D$11,2,FALSE),"KHONG_TIM_THAY_MA")</f>
        <v/>
      </c>
    </row>
    <row r="58">
      <c r="A58" t="inlineStr">
        <is>
          <t>ST-057</t>
        </is>
      </c>
      <c r="B58" t="inlineStr">
        <is>
          <t>RAM-007</t>
        </is>
      </c>
      <c r="C58" t="n">
        <v>4</v>
      </c>
      <c r="D58" s="3" t="n">
        <v>46057</v>
      </c>
      <c r="E58">
        <f>IFERROR(VLOOKUP(TRIM(B58),'danh-muc-linh-kien'!$A$2:$D$11,2,FALSE),"KHONG_TIM_THAY_MA")</f>
        <v/>
      </c>
    </row>
    <row r="59">
      <c r="A59" t="inlineStr">
        <is>
          <t>ST-058</t>
        </is>
      </c>
      <c r="B59" t="inlineStr">
        <is>
          <t xml:space="preserve"> SSD-008 </t>
        </is>
      </c>
      <c r="C59" t="n">
        <v>8</v>
      </c>
      <c r="D59" s="3" t="n">
        <v>46064</v>
      </c>
      <c r="E59">
        <f>IFERROR(VLOOKUP(TRIM(B59),'danh-muc-linh-kien'!$A$2:$D$11,2,FALSE),"KHONG_TIM_THAY_MA")</f>
        <v/>
      </c>
    </row>
    <row r="60">
      <c r="A60" t="inlineStr">
        <is>
          <t>ST-059</t>
        </is>
      </c>
      <c r="B60" t="inlineStr">
        <is>
          <t>NET-009</t>
        </is>
      </c>
      <c r="C60" t="n">
        <v>16</v>
      </c>
      <c r="D60" s="3" t="n">
        <v>46071</v>
      </c>
      <c r="E60">
        <f>IFERROR(VLOOKUP(TRIM(B60),'danh-muc-linh-kien'!$A$2:$D$11,2,FALSE),"KHONG_TIM_THAY_MA")</f>
        <v/>
      </c>
    </row>
    <row r="61">
      <c r="A61" t="inlineStr">
        <is>
          <t>ST-060</t>
        </is>
      </c>
      <c r="B61" t="inlineStr">
        <is>
          <t>PWR-010</t>
        </is>
      </c>
      <c r="C61" t="n">
        <v>4</v>
      </c>
      <c r="D61" s="3" t="n">
        <v>46078</v>
      </c>
      <c r="E61">
        <f>IFERROR(VLOOKUP(TRIM(B61),'danh-muc-linh-kien'!$A$2:$D$11,2,FALSE),"KHONG_TIM_THAY_MA")</f>
        <v/>
      </c>
    </row>
    <row r="62">
      <c r="A62" t="inlineStr">
        <is>
          <t>ST-061</t>
        </is>
      </c>
      <c r="B62" t="inlineStr">
        <is>
          <t>CPU-001</t>
        </is>
      </c>
      <c r="C62" t="n">
        <v>8</v>
      </c>
      <c r="D62" s="3" t="n">
        <v>46085</v>
      </c>
      <c r="E62">
        <f>IFERROR(VLOOKUP(TRIM(B62),'danh-muc-linh-kien'!$A$2:$D$11,2,FALSE),"KHONG_TIM_THAY_MA")</f>
        <v/>
      </c>
    </row>
    <row r="63">
      <c r="A63" t="inlineStr">
        <is>
          <t>ST-062</t>
        </is>
      </c>
      <c r="B63" t="inlineStr">
        <is>
          <t>RAM-002</t>
        </is>
      </c>
      <c r="C63" t="n">
        <v>16</v>
      </c>
      <c r="D63" s="3" t="n">
        <v>46092</v>
      </c>
      <c r="E63">
        <f>IFERROR(VLOOKUP(TRIM(B63),'danh-muc-linh-kien'!$A$2:$D$11,2,FALSE),"KHONG_TIM_THAY_MA")</f>
        <v/>
      </c>
    </row>
    <row r="64">
      <c r="A64" t="inlineStr">
        <is>
          <t>ST-063</t>
        </is>
      </c>
      <c r="B64" t="inlineStr">
        <is>
          <t>SSD-003</t>
        </is>
      </c>
      <c r="C64" t="n">
        <v>4</v>
      </c>
      <c r="D64" s="3" t="n">
        <v>46099</v>
      </c>
      <c r="E64">
        <f>IFERROR(VLOOKUP(TRIM(B64),'danh-muc-linh-kien'!$A$2:$D$11,2,FALSE),"KHONG_TIM_THAY_MA")</f>
        <v/>
      </c>
    </row>
    <row r="65">
      <c r="A65" t="inlineStr">
        <is>
          <t>ST-064</t>
        </is>
      </c>
      <c r="B65" t="inlineStr">
        <is>
          <t>SSD-004</t>
        </is>
      </c>
      <c r="C65" t="n">
        <v>8</v>
      </c>
      <c r="D65" s="3" t="n">
        <v>46106</v>
      </c>
      <c r="E65">
        <f>IFERROR(VLOOKUP(TRIM(B65),'danh-muc-linh-kien'!$A$2:$D$11,2,FALSE),"KHONG_TIM_THAY_MA")</f>
        <v/>
      </c>
    </row>
    <row r="66">
      <c r="A66" t="inlineStr">
        <is>
          <t>ST-065</t>
        </is>
      </c>
      <c r="B66" t="inlineStr">
        <is>
          <t>HDD-005</t>
        </is>
      </c>
      <c r="C66" t="n">
        <v>16</v>
      </c>
      <c r="D66" s="3" t="n">
        <v>46113</v>
      </c>
      <c r="E66">
        <f>IFERROR(VLOOKUP(TRIM(B66),'danh-muc-linh-kien'!$A$2:$D$11,2,FALSE),"KHONG_TIM_THAY_MA")</f>
        <v/>
      </c>
    </row>
    <row r="67">
      <c r="A67" t="inlineStr">
        <is>
          <t>ST-066</t>
        </is>
      </c>
      <c r="B67" t="inlineStr">
        <is>
          <t>CPU-006</t>
        </is>
      </c>
      <c r="C67" t="n">
        <v>4</v>
      </c>
      <c r="D67" s="3" t="n">
        <v>46120</v>
      </c>
      <c r="E67">
        <f>IFERROR(VLOOKUP(TRIM(B67),'danh-muc-linh-kien'!$A$2:$D$11,2,FALSE),"KHONG_TIM_THAY_MA")</f>
        <v/>
      </c>
    </row>
    <row r="68">
      <c r="A68" t="inlineStr">
        <is>
          <t>ST-067</t>
        </is>
      </c>
      <c r="B68" t="inlineStr">
        <is>
          <t>RAM-007</t>
        </is>
      </c>
      <c r="C68" t="n">
        <v>8</v>
      </c>
      <c r="D68" s="3" t="n">
        <v>46127</v>
      </c>
      <c r="E68">
        <f>IFERROR(VLOOKUP(TRIM(B68),'danh-muc-linh-kien'!$A$2:$D$11,2,FALSE),"KHONG_TIM_THAY_MA")</f>
        <v/>
      </c>
    </row>
    <row r="69">
      <c r="A69" t="inlineStr">
        <is>
          <t>ST-068</t>
        </is>
      </c>
      <c r="B69" t="inlineStr">
        <is>
          <t>SSD-008</t>
        </is>
      </c>
      <c r="C69" t="n">
        <v>16</v>
      </c>
      <c r="D69" s="3" t="n">
        <v>46134</v>
      </c>
      <c r="E69">
        <f>IFERROR(VLOOKUP(TRIM(B69),'danh-muc-linh-kien'!$A$2:$D$11,2,FALSE),"KHONG_TIM_THAY_MA")</f>
        <v/>
      </c>
    </row>
    <row r="70">
      <c r="A70" t="inlineStr">
        <is>
          <t>ST-069</t>
        </is>
      </c>
      <c r="B70" t="inlineStr">
        <is>
          <t>NET-009</t>
        </is>
      </c>
      <c r="C70" t="n">
        <v>4</v>
      </c>
      <c r="D70" s="3" t="n">
        <v>46141</v>
      </c>
      <c r="E70">
        <f>IFERROR(VLOOKUP(TRIM(B70),'danh-muc-linh-kien'!$A$2:$D$11,2,FALSE),"KHONG_TIM_THAY_MA")</f>
        <v/>
      </c>
    </row>
    <row r="71">
      <c r="A71" t="inlineStr">
        <is>
          <t>ST-070</t>
        </is>
      </c>
      <c r="B71" t="inlineStr">
        <is>
          <t>PWR-010</t>
        </is>
      </c>
      <c r="C71" t="n">
        <v>8</v>
      </c>
      <c r="D71" s="3" t="n">
        <v>46148</v>
      </c>
      <c r="E71">
        <f>IFERROR(VLOOKUP(TRIM(B71),'danh-muc-linh-kien'!$A$2:$D$11,2,FALSE),"KHONG_TIM_THAY_MA")</f>
        <v/>
      </c>
    </row>
    <row r="72">
      <c r="A72" t="inlineStr">
        <is>
          <t>ST-071</t>
        </is>
      </c>
      <c r="B72" t="inlineStr">
        <is>
          <t>CPU-001</t>
        </is>
      </c>
      <c r="C72" t="n">
        <v>16</v>
      </c>
      <c r="D72" s="3" t="n">
        <v>46155</v>
      </c>
      <c r="E72">
        <f>IFERROR(VLOOKUP(TRIM(B72),'danh-muc-linh-kien'!$A$2:$D$11,2,FALSE),"KHONG_TIM_THAY_MA")</f>
        <v/>
      </c>
    </row>
    <row r="73">
      <c r="A73" t="inlineStr">
        <is>
          <t>ST-072</t>
        </is>
      </c>
      <c r="B73" t="inlineStr">
        <is>
          <t>RAM-002</t>
        </is>
      </c>
      <c r="C73" t="n">
        <v>4</v>
      </c>
      <c r="D73" s="3" t="n">
        <v>46162</v>
      </c>
      <c r="E73">
        <f>IFERROR(VLOOKUP(TRIM(B73),'danh-muc-linh-kien'!$A$2:$D$11,2,FALSE),"KHONG_TIM_THAY_MA")</f>
        <v/>
      </c>
    </row>
    <row r="74">
      <c r="A74" t="inlineStr">
        <is>
          <t>ST-073</t>
        </is>
      </c>
      <c r="B74" t="inlineStr">
        <is>
          <t>SSD-003</t>
        </is>
      </c>
      <c r="C74" t="n">
        <v>8</v>
      </c>
      <c r="D74" s="3" t="n">
        <v>46169</v>
      </c>
      <c r="E74">
        <f>IFERROR(VLOOKUP(TRIM(B74),'danh-muc-linh-kien'!$A$2:$D$11,2,FALSE),"KHONG_TIM_THAY_MA")</f>
        <v/>
      </c>
    </row>
    <row r="75">
      <c r="A75" t="inlineStr">
        <is>
          <t>ST-074</t>
        </is>
      </c>
      <c r="B75" t="inlineStr">
        <is>
          <t>SSD-004</t>
        </is>
      </c>
      <c r="C75" t="n">
        <v>16</v>
      </c>
      <c r="D75" s="3" t="n">
        <v>46176</v>
      </c>
      <c r="E75">
        <f>IFERROR(VLOOKUP(TRIM(B75),'danh-muc-linh-kien'!$A$2:$D$11,2,FALSE),"KHONG_TIM_THAY_MA")</f>
        <v/>
      </c>
    </row>
    <row r="76">
      <c r="A76" t="inlineStr">
        <is>
          <t>ST-075</t>
        </is>
      </c>
      <c r="B76" t="inlineStr">
        <is>
          <t>HDD-005</t>
        </is>
      </c>
      <c r="C76" t="n">
        <v>4</v>
      </c>
      <c r="D76" s="3" t="n">
        <v>46183</v>
      </c>
      <c r="E76">
        <f>IFERROR(VLOOKUP(TRIM(B76),'danh-muc-linh-kien'!$A$2:$D$11,2,FALSE),"KHONG_TIM_THAY_MA")</f>
        <v/>
      </c>
    </row>
    <row r="77">
      <c r="A77" t="inlineStr">
        <is>
          <t>ST-076</t>
        </is>
      </c>
      <c r="B77" t="inlineStr">
        <is>
          <t>CPU-006</t>
        </is>
      </c>
      <c r="C77" t="n">
        <v>8</v>
      </c>
      <c r="D77" s="3" t="n">
        <v>46190</v>
      </c>
      <c r="E77">
        <f>IFERROR(VLOOKUP(TRIM(B77),'danh-muc-linh-kien'!$A$2:$D$11,2,FALSE),"KHONG_TIM_THAY_MA")</f>
        <v/>
      </c>
    </row>
    <row r="78">
      <c r="A78" t="inlineStr">
        <is>
          <t>ST-077</t>
        </is>
      </c>
      <c r="B78" t="inlineStr">
        <is>
          <t>RAM-007</t>
        </is>
      </c>
      <c r="C78" t="n">
        <v>16</v>
      </c>
      <c r="D78" s="3" t="n">
        <v>46197</v>
      </c>
      <c r="E78">
        <f>IFERROR(VLOOKUP(TRIM(B78),'danh-muc-linh-kien'!$A$2:$D$11,2,FALSE),"KHONG_TIM_THAY_MA")</f>
        <v/>
      </c>
    </row>
    <row r="79">
      <c r="A79" t="inlineStr">
        <is>
          <t>ST-078</t>
        </is>
      </c>
      <c r="B79" t="inlineStr">
        <is>
          <t>SSD-008</t>
        </is>
      </c>
      <c r="C79" t="n">
        <v>4</v>
      </c>
      <c r="D79" s="3" t="n">
        <v>46204</v>
      </c>
      <c r="E79">
        <f>IFERROR(VLOOKUP(TRIM(B79),'danh-muc-linh-kien'!$A$2:$D$11,2,FALSE),"KHONG_TIM_THAY_MA")</f>
        <v/>
      </c>
    </row>
    <row r="80">
      <c r="A80" t="inlineStr">
        <is>
          <t>ST-079</t>
        </is>
      </c>
      <c r="B80" t="inlineStr">
        <is>
          <t>NET-009</t>
        </is>
      </c>
      <c r="C80" t="n">
        <v>8</v>
      </c>
      <c r="D80" s="3" t="n">
        <v>46211</v>
      </c>
      <c r="E80">
        <f>IFERROR(VLOOKUP(TRIM(B80),'danh-muc-linh-kien'!$A$2:$D$11,2,FALSE),"KHONG_TIM_THAY_MA")</f>
        <v/>
      </c>
    </row>
    <row r="81">
      <c r="A81" t="inlineStr">
        <is>
          <t>ST-080</t>
        </is>
      </c>
      <c r="B81" t="inlineStr">
        <is>
          <t>PWR-010</t>
        </is>
      </c>
      <c r="C81" t="n">
        <v>16</v>
      </c>
      <c r="D81" s="3" t="n">
        <v>46218</v>
      </c>
      <c r="E81">
        <f>IFERROR(VLOOKUP(TRIM(B81),'danh-muc-linh-kien'!$A$2:$D$11,2,FALSE),"KHONG_TIM_THAY_MA")</f>
        <v/>
      </c>
    </row>
    <row r="82">
      <c r="A82" t="inlineStr">
        <is>
          <t>ST-081</t>
        </is>
      </c>
      <c r="B82" t="inlineStr">
        <is>
          <t>CPU-001</t>
        </is>
      </c>
      <c r="C82" t="n">
        <v>4</v>
      </c>
      <c r="D82" s="3" t="n">
        <v>46225</v>
      </c>
      <c r="E82">
        <f>IFERROR(VLOOKUP(TRIM(B82),'danh-muc-linh-kien'!$A$2:$D$11,2,FALSE),"KHONG_TIM_THAY_MA")</f>
        <v/>
      </c>
    </row>
    <row r="83">
      <c r="A83" t="inlineStr">
        <is>
          <t>ST-082</t>
        </is>
      </c>
      <c r="B83" t="inlineStr">
        <is>
          <t>RAM-002</t>
        </is>
      </c>
      <c r="C83" t="n">
        <v>8</v>
      </c>
      <c r="D83" s="3" t="n">
        <v>46232</v>
      </c>
      <c r="E83">
        <f>IFERROR(VLOOKUP(TRIM(B83),'danh-muc-linh-kien'!$A$2:$D$11,2,FALSE),"KHONG_TIM_THAY_MA")</f>
        <v/>
      </c>
    </row>
    <row r="84">
      <c r="A84" t="inlineStr">
        <is>
          <t>ST-083</t>
        </is>
      </c>
      <c r="B84" t="inlineStr">
        <is>
          <t>SSD-003</t>
        </is>
      </c>
      <c r="C84" t="n">
        <v>16</v>
      </c>
      <c r="D84" s="3" t="n">
        <v>46239</v>
      </c>
      <c r="E84">
        <f>IFERROR(VLOOKUP(TRIM(B84),'danh-muc-linh-kien'!$A$2:$D$11,2,FALSE),"KHONG_TIM_THAY_MA")</f>
        <v/>
      </c>
    </row>
    <row r="85">
      <c r="A85" t="inlineStr">
        <is>
          <t>ST-084</t>
        </is>
      </c>
      <c r="B85" t="inlineStr">
        <is>
          <t>SSD-004</t>
        </is>
      </c>
      <c r="C85" t="n">
        <v>4</v>
      </c>
      <c r="D85" s="3" t="n">
        <v>46246</v>
      </c>
      <c r="E85">
        <f>IFERROR(VLOOKUP(TRIM(B85),'danh-muc-linh-kien'!$A$2:$D$11,2,FALSE),"KHONG_TIM_THAY_MA")</f>
        <v/>
      </c>
    </row>
    <row r="86">
      <c r="A86" t="inlineStr">
        <is>
          <t>ST-085</t>
        </is>
      </c>
      <c r="B86" t="inlineStr">
        <is>
          <t>HDD-005</t>
        </is>
      </c>
      <c r="C86" t="n">
        <v>8</v>
      </c>
      <c r="D86" s="3" t="n">
        <v>46253</v>
      </c>
      <c r="E86">
        <f>IFERROR(VLOOKUP(TRIM(B86),'danh-muc-linh-kien'!$A$2:$D$11,2,FALSE),"KHONG_TIM_THAY_MA")</f>
        <v/>
      </c>
    </row>
    <row r="87">
      <c r="A87" t="inlineStr">
        <is>
          <t>ST-086</t>
        </is>
      </c>
      <c r="B87" t="inlineStr">
        <is>
          <t>CPU-006</t>
        </is>
      </c>
      <c r="C87" t="n">
        <v>16</v>
      </c>
      <c r="D87" s="3" t="n">
        <v>45660</v>
      </c>
      <c r="E87">
        <f>IFERROR(VLOOKUP(TRIM(B87),'danh-muc-linh-kien'!$A$2:$D$11,2,FALSE),"KHONG_TIM_THAY_MA")</f>
        <v/>
      </c>
    </row>
    <row r="88">
      <c r="A88" t="inlineStr">
        <is>
          <t>ST-087</t>
        </is>
      </c>
      <c r="B88" t="inlineStr">
        <is>
          <t>RAM-007</t>
        </is>
      </c>
      <c r="C88" t="n">
        <v>4</v>
      </c>
      <c r="D88" s="3" t="n">
        <v>45667</v>
      </c>
      <c r="E88">
        <f>IFERROR(VLOOKUP(TRIM(B88),'danh-muc-linh-kien'!$A$2:$D$11,2,FALSE),"KHONG_TIM_THAY_MA")</f>
        <v/>
      </c>
    </row>
    <row r="89">
      <c r="A89" t="inlineStr">
        <is>
          <t>ST-088</t>
        </is>
      </c>
      <c r="B89" t="inlineStr">
        <is>
          <t>SSD-008</t>
        </is>
      </c>
      <c r="C89" t="n">
        <v>8</v>
      </c>
      <c r="D89" s="3" t="n">
        <v>45674</v>
      </c>
      <c r="E89">
        <f>IFERROR(VLOOKUP(TRIM(B89),'danh-muc-linh-kien'!$A$2:$D$11,2,FALSE),"KHONG_TIM_THAY_MA")</f>
        <v/>
      </c>
    </row>
    <row r="90">
      <c r="A90" t="inlineStr">
        <is>
          <t>ST-089</t>
        </is>
      </c>
      <c r="B90" t="inlineStr">
        <is>
          <t>NET-009</t>
        </is>
      </c>
      <c r="C90" t="n">
        <v>16</v>
      </c>
      <c r="D90" s="3" t="n">
        <v>45681</v>
      </c>
      <c r="E90">
        <f>IFERROR(VLOOKUP(TRIM(B90),'danh-muc-linh-kien'!$A$2:$D$11,2,FALSE),"KHONG_TIM_THAY_MA")</f>
        <v/>
      </c>
    </row>
    <row r="91">
      <c r="A91" t="inlineStr">
        <is>
          <t>ST-090</t>
        </is>
      </c>
      <c r="B91" t="inlineStr">
        <is>
          <t>PWR-010</t>
        </is>
      </c>
      <c r="C91" t="n">
        <v>4</v>
      </c>
      <c r="D91" s="3" t="n">
        <v>45688</v>
      </c>
      <c r="E91">
        <f>IFERROR(VLOOKUP(TRIM(B91),'danh-muc-linh-kien'!$A$2:$D$11,2,FALSE),"KHONG_TIM_THAY_MA")</f>
        <v/>
      </c>
    </row>
    <row r="92">
      <c r="A92" t="inlineStr">
        <is>
          <t>ST-091</t>
        </is>
      </c>
      <c r="B92" t="inlineStr">
        <is>
          <t>CPU-001</t>
        </is>
      </c>
      <c r="C92" t="n">
        <v>8</v>
      </c>
      <c r="D92" s="3" t="n">
        <v>45695</v>
      </c>
      <c r="E92">
        <f>IFERROR(VLOOKUP(TRIM(B92),'danh-muc-linh-kien'!$A$2:$D$11,2,FALSE),"KHONG_TIM_THAY_MA")</f>
        <v/>
      </c>
    </row>
    <row r="93">
      <c r="A93" t="inlineStr">
        <is>
          <t>ST-092</t>
        </is>
      </c>
      <c r="B93" t="inlineStr">
        <is>
          <t>RAM-002</t>
        </is>
      </c>
      <c r="C93" t="n">
        <v>16</v>
      </c>
      <c r="D93" s="3" t="n">
        <v>45702</v>
      </c>
      <c r="E93">
        <f>IFERROR(VLOOKUP(TRIM(B93),'danh-muc-linh-kien'!$A$2:$D$11,2,FALSE),"KHONG_TIM_THAY_MA")</f>
        <v/>
      </c>
    </row>
    <row r="94">
      <c r="A94" t="inlineStr">
        <is>
          <t>ST-093</t>
        </is>
      </c>
      <c r="B94" t="inlineStr">
        <is>
          <t>SSD-003</t>
        </is>
      </c>
      <c r="C94" t="n">
        <v>4</v>
      </c>
      <c r="D94" s="3" t="n">
        <v>45709</v>
      </c>
      <c r="E94">
        <f>IFERROR(VLOOKUP(TRIM(B94),'danh-muc-linh-kien'!$A$2:$D$11,2,FALSE),"KHONG_TIM_THAY_MA")</f>
        <v/>
      </c>
    </row>
    <row r="95">
      <c r="A95" t="inlineStr">
        <is>
          <t>ST-094</t>
        </is>
      </c>
      <c r="B95" t="inlineStr">
        <is>
          <t>SSD-004</t>
        </is>
      </c>
      <c r="C95" t="n">
        <v>8</v>
      </c>
      <c r="D95" s="3" t="n">
        <v>45716</v>
      </c>
      <c r="E95">
        <f>IFERROR(VLOOKUP(TRIM(B95),'danh-muc-linh-kien'!$A$2:$D$11,2,FALSE),"KHONG_TIM_THAY_MA")</f>
        <v/>
      </c>
    </row>
    <row r="96">
      <c r="A96" t="inlineStr">
        <is>
          <t>ST-095</t>
        </is>
      </c>
      <c r="B96" t="inlineStr">
        <is>
          <t>HDD-005</t>
        </is>
      </c>
      <c r="C96" t="n">
        <v>16</v>
      </c>
      <c r="D96" s="3" t="n">
        <v>45723</v>
      </c>
      <c r="E96">
        <f>IFERROR(VLOOKUP(TRIM(B96),'danh-muc-linh-kien'!$A$2:$D$11,2,FALSE),"KHONG_TIM_THAY_MA")</f>
        <v/>
      </c>
    </row>
    <row r="97">
      <c r="A97" t="inlineStr">
        <is>
          <t>ST-096</t>
        </is>
      </c>
      <c r="B97" t="inlineStr">
        <is>
          <t>CPU-006</t>
        </is>
      </c>
      <c r="C97" t="n">
        <v>4</v>
      </c>
      <c r="D97" s="3" t="n">
        <v>45730</v>
      </c>
      <c r="E97">
        <f>IFERROR(VLOOKUP(TRIM(B97),'danh-muc-linh-kien'!$A$2:$D$11,2,FALSE),"KHONG_TIM_THAY_MA")</f>
        <v/>
      </c>
    </row>
    <row r="98">
      <c r="A98" t="inlineStr">
        <is>
          <t>ST-097</t>
        </is>
      </c>
      <c r="B98" t="inlineStr">
        <is>
          <t>RAM-007</t>
        </is>
      </c>
      <c r="C98" t="n">
        <v>8</v>
      </c>
      <c r="D98" s="3" t="n">
        <v>45737</v>
      </c>
      <c r="E98">
        <f>IFERROR(VLOOKUP(TRIM(B98),'danh-muc-linh-kien'!$A$2:$D$11,2,FALSE),"KHONG_TIM_THAY_MA")</f>
        <v/>
      </c>
    </row>
    <row r="99">
      <c r="A99" t="inlineStr">
        <is>
          <t>ST-098</t>
        </is>
      </c>
      <c r="B99" t="inlineStr">
        <is>
          <t>SSD-008</t>
        </is>
      </c>
      <c r="C99" t="n">
        <v>16</v>
      </c>
      <c r="D99" s="3" t="n">
        <v>45744</v>
      </c>
      <c r="E99">
        <f>IFERROR(VLOOKUP(TRIM(B99),'danh-muc-linh-kien'!$A$2:$D$11,2,FALSE),"KHONG_TIM_THAY_MA")</f>
        <v/>
      </c>
    </row>
    <row r="100">
      <c r="A100" t="inlineStr">
        <is>
          <t>ST-099</t>
        </is>
      </c>
      <c r="B100" t="inlineStr">
        <is>
          <t>NET-009</t>
        </is>
      </c>
      <c r="C100" t="n">
        <v>4</v>
      </c>
      <c r="D100" s="3" t="n">
        <v>45751</v>
      </c>
      <c r="E100">
        <f>IFERROR(VLOOKUP(TRIM(B100),'danh-muc-linh-kien'!$A$2:$D$11,2,FALSE),"KHONG_TIM_THAY_MA")</f>
        <v/>
      </c>
    </row>
    <row r="101">
      <c r="A101" t="inlineStr">
        <is>
          <t>ST-100</t>
        </is>
      </c>
      <c r="B101" t="inlineStr">
        <is>
          <t>PWR-010</t>
        </is>
      </c>
      <c r="C101" t="n">
        <v>8</v>
      </c>
      <c r="D101" s="3" t="n">
        <v>45758</v>
      </c>
      <c r="E101">
        <f>IFERROR(VLOOKUP(TRIM(B101),'danh-muc-linh-kien'!$A$2:$D$11,2,FALSE),"KHONG_TIM_THAY_MA")</f>
        <v/>
      </c>
    </row>
  </sheetData>
  <autoFilter ref="A1:E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2026-10-26T15:15:55Z</dcterms:created>
  <dcterms:modified xmlns:dcterms="http://purl.org/dc/terms/" xmlns:xsi="http://www.w3.org/2001/XMLSchema-instance" xsi:type="dcterms:W3CDTF">2026-10-26T15:15:55Z</dcterms:modified>
</cp:coreProperties>
</file>